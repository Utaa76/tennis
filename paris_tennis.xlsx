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<sst xmlns="http://schemas.openxmlformats.org/spreadsheetml/2006/main" count="20" uniqueCount="20">
  <si>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match</t>
  </si>
  <si>
    <t xml:space="preserve">winner</t>
  </si>
  <si>
    <t xml:space="preserve">cote</t>
  </si>
  <si>
    <t xml:space="preserve">mise</t>
  </si>
  <si>
    <t xml:space="preserve">gain_attendu</t>
  </si>
  <si>
    <t xml:space="preserve">resultat</t>
  </si>
  <si>
    <t xml:space="preserve">gain_net</t>
  </si>
  <si>
    <t xml:space="preserve">Total</t>
  </si>
  <si>
    <t xml:space="preserve">Cobolli F. vs Kecmanovic M.</t>
  </si>
  <si>
    <t xml:space="preserve">Kecmanovic M.</t>
  </si>
  <si>
    <t xml:space="preserve">Darderi L. vs Pellegrino A.</t>
  </si>
  <si>
    <t xml:space="preserve">Pellegrino A.</t>
  </si>
  <si>
    <t xml:space="preserve">Paolini J. vs Boulter K.</t>
  </si>
  <si>
    <t xml:space="preserve">Boulter K.</t>
  </si>
  <si>
    <t xml:space="preserve">Townsend T. vs Masarova R.</t>
  </si>
  <si>
    <t xml:space="preserve">Masarova R.</t>
  </si>
  <si>
    <t xml:space="preserve">Stearns P. vs Selekhmeteva O.</t>
  </si>
  <si>
    <t xml:space="preserve">Selekhmeteva O.</t>
  </si>
  <si>
    <t xml:space="preserve">Krueger A. vs Yuan Y.</t>
  </si>
  <si>
    <t xml:space="preserve">Yuan Y.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</si>
</sst>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K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1.67</v>
      </c>
      <c r="D2" s="0" t="n">
        <v>1.19900497512438</v>
      </c>
      <c r="E2" s="0" t="n">
        <v>0.803333333333332</v>
      </c>
      <c r="G2" s="0" t="n">
        <f aca="false">IF(F2="W", E2, -D2)</f>
        <v>-1.19900497512438</v>
      </c>
      <c r="K2" s="0" t="n">
        <f aca="false">SUM(G:G)</f>
        <v>-4.56254120635312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n">
        <v>6</v>
      </c>
      <c r="D3" s="0" t="n">
        <v>0.583266932270917</v>
      </c>
      <c r="E3" s="0" t="n">
        <v>2.91633466135459</v>
      </c>
      <c r="G3" s="0" t="n">
        <f aca="false">IF(F3="W", E3, -D3)</f>
        <v>-0.583266932270917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n">
        <v>2.75</v>
      </c>
      <c r="D4" s="0" t="n">
        <v>1.1889400921659</v>
      </c>
      <c r="E4" s="0" t="n">
        <v>2.08064516129033</v>
      </c>
      <c r="G4" s="0" t="n">
        <f aca="false">IF(F4="W", E4, -D4)</f>
        <v>-1.1889400921659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2.63</v>
      </c>
      <c r="D5" s="0" t="n">
        <v>0.899519637299175</v>
      </c>
      <c r="E5" s="0" t="n">
        <v>1.46621700879766</v>
      </c>
      <c r="G5" s="0" t="n">
        <f aca="false">IF(F5="W", E5, -D5)</f>
        <v>-0.899519637299175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2.5</v>
      </c>
      <c r="D6" s="0" t="n">
        <v>0.401486988847586</v>
      </c>
      <c r="E6" s="0" t="n">
        <v>0.602230483271379</v>
      </c>
      <c r="G6" s="0" t="n">
        <f aca="false">IF(F6="W", E6, -D6)</f>
        <v>-0.401486988847586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n">
        <v>2.2</v>
      </c>
      <c r="D7" s="0" t="n">
        <v>0.290322580645163</v>
      </c>
      <c r="E7" s="0" t="n">
        <v>0.348387096774195</v>
      </c>
      <c r="G7" s="0" t="n">
        <f aca="false">IF(F7="W", E7, -D7)</f>
        <v>-0.290322580645163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2026-02-27T15:53:51Z</dcterms:created>
  <dc:creator>openpyxl</dc:creator>
  <dc:description/>
  <dc:language>fr-FR</dc:language>
  <cp:lastModifiedBy/>
  <dcterms:modified xsi:type="dcterms:W3CDTF">2026-02-27T16:58:28Z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